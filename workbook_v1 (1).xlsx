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Cálculo PF" sheetId="2" state="visible" r:id="rId2"/>
    <sheet name="Cálculo PJ" sheetId="3" state="visible" r:id="rId3"/>
    <sheet name="Comparativo" sheetId="4" state="visible" r:id="rId4"/>
    <sheet name="Sensibilid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Aporte Inicial</t>
        </is>
      </c>
      <c r="B2" t="n">
        <v>1000000</v>
      </c>
    </row>
    <row r="3">
      <c r="A3" t="inlineStr">
        <is>
          <t>Aportes Anuais</t>
        </is>
      </c>
      <c r="B3" t="n">
        <v>0</v>
      </c>
    </row>
    <row r="4">
      <c r="A4" t="inlineStr">
        <is>
          <t>Horizonte em anos</t>
        </is>
      </c>
      <c r="B4" t="n">
        <v>30</v>
      </c>
    </row>
    <row r="5">
      <c r="A5" t="inlineStr">
        <is>
          <t>Taxa nominal esperada ao ano (%)</t>
        </is>
      </c>
      <c r="B5" t="n">
        <v>10</v>
      </c>
    </row>
    <row r="6">
      <c r="A6" t="inlineStr">
        <is>
          <t>Inflação esperada (%)</t>
        </is>
      </c>
      <c r="B6" t="n">
        <v>4</v>
      </c>
    </row>
    <row r="7">
      <c r="A7" t="inlineStr">
        <is>
          <t>Giro da carteira (%)</t>
        </is>
      </c>
      <c r="B7" t="n">
        <v>20</v>
      </c>
    </row>
    <row r="8">
      <c r="A8" t="inlineStr">
        <is>
          <t>Percentual de distribuição de dividendos anuais (%)</t>
        </is>
      </c>
      <c r="B8" t="n">
        <v>50</v>
      </c>
    </row>
    <row r="9">
      <c r="A9" t="inlineStr">
        <is>
          <t>Dividendos recebidos por ano (inicial)</t>
        </is>
      </c>
      <c r="B9" t="n">
        <v>1200000</v>
      </c>
    </row>
    <row r="10">
      <c r="A10" t="inlineStr">
        <is>
          <t>Alíquota adicional de IRPF no ajuste sobre dividendos (%)</t>
        </is>
      </c>
      <c r="B10" t="n">
        <v>10</v>
      </c>
    </row>
    <row r="11">
      <c r="A11" t="inlineStr">
        <is>
          <t>Alíquota efetiva PF sobre rendimentos (%)</t>
        </is>
      </c>
      <c r="B11" t="n">
        <v>15</v>
      </c>
    </row>
    <row r="12">
      <c r="A12" t="inlineStr">
        <is>
          <t>Alíquota efetiva PJ sobre rendimentos (%)</t>
        </is>
      </c>
      <c r="B12" t="n">
        <v>34</v>
      </c>
    </row>
    <row r="13">
      <c r="A13" t="inlineStr">
        <is>
          <t>Alíquota sobre distribuição da PJ para PF (%)</t>
        </is>
      </c>
      <c r="B13" t="n">
        <v>0</v>
      </c>
    </row>
    <row r="14">
      <c r="A14" t="inlineStr">
        <is>
          <t>Custo anual de manutenção da holding (R$)</t>
        </is>
      </c>
      <c r="B14" t="n">
        <v>50000</v>
      </c>
    </row>
    <row r="15">
      <c r="A15" t="inlineStr">
        <is>
          <t>Custo contábil/jurídico anual (R$)</t>
        </is>
      </c>
      <c r="B15" t="n">
        <v>20000</v>
      </c>
    </row>
    <row r="16">
      <c r="A16" t="inlineStr">
        <is>
          <t>ITCMD estimado (%)</t>
        </is>
      </c>
      <c r="B16" t="n">
        <v>4</v>
      </c>
    </row>
    <row r="17">
      <c r="A17" t="inlineStr">
        <is>
          <t>Alíquota de ganho de capital PF (%)</t>
        </is>
      </c>
      <c r="B17" t="n">
        <v>15</v>
      </c>
    </row>
    <row r="18">
      <c r="A18" t="inlineStr">
        <is>
          <t>Alíquota de ganho de capital PJ (%)</t>
        </is>
      </c>
      <c r="B18" t="n">
        <v>15</v>
      </c>
    </row>
    <row r="19">
      <c r="A19" t="inlineStr">
        <is>
          <t>Percentual de reinvestimento dos rendimentos (%)</t>
        </is>
      </c>
      <c r="B19" t="n">
        <v>100</v>
      </c>
    </row>
    <row r="20">
      <c r="A20" t="inlineStr">
        <is>
          <t>Taxa de desconto para valor presente (%)</t>
        </is>
      </c>
      <c r="B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Saldo Inicial</t>
        </is>
      </c>
      <c r="C1" t="inlineStr">
        <is>
          <t>Rendimento Bruto</t>
        </is>
      </c>
      <c r="D1" t="inlineStr">
        <is>
          <t>Impostos</t>
        </is>
      </c>
      <c r="E1" t="inlineStr">
        <is>
          <t>Ajuste Adicional de 10% sobre dividendos</t>
        </is>
      </c>
      <c r="F1" t="inlineStr">
        <is>
          <t>Rendimento Líquido</t>
        </is>
      </c>
      <c r="G1" t="inlineStr">
        <is>
          <t>Reinvestimento</t>
        </is>
      </c>
      <c r="H1" t="inlineStr">
        <is>
          <t>Saldo Final</t>
        </is>
      </c>
    </row>
    <row r="2">
      <c r="A2" t="n">
        <v>1</v>
      </c>
      <c r="B2">
        <f>Parâmetros!B2</f>
        <v/>
      </c>
      <c r="C2">
        <f>B2 * Parâmetros!B5 / 100</f>
        <v/>
      </c>
      <c r="D2">
        <f>C2 * Parâmetros!B11 / 100</f>
        <v/>
      </c>
      <c r="E2">
        <f>(C2 * Parâmetros!B8 / 100) * Parâmetros!B10 / 100</f>
        <v/>
      </c>
      <c r="F2" t="n">
        <v>0</v>
      </c>
      <c r="G2">
        <f>F2 * Parâmetros!B19 / 100</f>
        <v/>
      </c>
      <c r="H2">
        <f>B2 + G2 + Parâmetros!B3</f>
        <v/>
      </c>
    </row>
    <row r="3">
      <c r="A3" t="n">
        <v>2</v>
      </c>
      <c r="B3">
        <f>H2 + Parâmetros!B3</f>
        <v/>
      </c>
      <c r="C3">
        <f>B3 * Parâmetros!B5 / 100</f>
        <v/>
      </c>
      <c r="D3">
        <f>C3 * Parâmetros!B11 / 100</f>
        <v/>
      </c>
      <c r="E3">
        <f>(C3 * Parâmetros!B8 / 100) * Parâmetros!B10 / 100</f>
        <v/>
      </c>
      <c r="F3" t="n">
        <v>0</v>
      </c>
      <c r="G3">
        <f>F3 * Parâmetros!B19 / 100</f>
        <v/>
      </c>
      <c r="H3">
        <f>B3 + G3 + Parâmetros!B3</f>
        <v/>
      </c>
    </row>
    <row r="4">
      <c r="A4" t="n">
        <v>3</v>
      </c>
      <c r="B4">
        <f>H3 + Parâmetros!B3</f>
        <v/>
      </c>
      <c r="C4">
        <f>B4 * Parâmetros!B5 / 100</f>
        <v/>
      </c>
      <c r="D4">
        <f>C4 * Parâmetros!B11 / 100</f>
        <v/>
      </c>
      <c r="E4">
        <f>(C4 * Parâmetros!B8 / 100) * Parâmetros!B10 / 100</f>
        <v/>
      </c>
      <c r="F4" t="n">
        <v>0</v>
      </c>
      <c r="G4">
        <f>F4 * Parâmetros!B19 / 100</f>
        <v/>
      </c>
      <c r="H4">
        <f>B4 + G4 + Parâmetros!B3</f>
        <v/>
      </c>
    </row>
    <row r="5">
      <c r="A5" t="n">
        <v>4</v>
      </c>
      <c r="B5">
        <f>H4 + Parâmetros!B3</f>
        <v/>
      </c>
      <c r="C5">
        <f>B5 * Parâmetros!B5 / 100</f>
        <v/>
      </c>
      <c r="D5">
        <f>C5 * Parâmetros!B11 / 100</f>
        <v/>
      </c>
      <c r="E5">
        <f>(C5 * Parâmetros!B8 / 100) * Parâmetros!B10 / 100</f>
        <v/>
      </c>
      <c r="F5" t="n">
        <v>0</v>
      </c>
      <c r="G5">
        <f>F5 * Parâmetros!B19 / 100</f>
        <v/>
      </c>
      <c r="H5">
        <f>B5 + G5 + Parâmetros!B3</f>
        <v/>
      </c>
    </row>
    <row r="6">
      <c r="A6" t="n">
        <v>5</v>
      </c>
      <c r="B6">
        <f>H5 + Parâmetros!B3</f>
        <v/>
      </c>
      <c r="C6">
        <f>B6 * Parâmetros!B5 / 100</f>
        <v/>
      </c>
      <c r="D6">
        <f>C6 * Parâmetros!B11 / 100</f>
        <v/>
      </c>
      <c r="E6">
        <f>(C6 * Parâmetros!B8 / 100) * Parâmetros!B10 / 100</f>
        <v/>
      </c>
      <c r="F6" t="n">
        <v>0</v>
      </c>
      <c r="G6">
        <f>F6 * Parâmetros!B19 / 100</f>
        <v/>
      </c>
      <c r="H6">
        <f>B6 + G6 + Parâmetros!B3</f>
        <v/>
      </c>
    </row>
    <row r="7">
      <c r="A7" t="n">
        <v>6</v>
      </c>
      <c r="B7">
        <f>H6 + Parâmetros!B3</f>
        <v/>
      </c>
      <c r="C7">
        <f>B7 * Parâmetros!B5 / 100</f>
        <v/>
      </c>
      <c r="D7">
        <f>C7 * Parâmetros!B11 / 100</f>
        <v/>
      </c>
      <c r="E7">
        <f>(C7 * Parâmetros!B8 / 100) * Parâmetros!B10 / 100</f>
        <v/>
      </c>
      <c r="F7" t="n">
        <v>0</v>
      </c>
      <c r="G7">
        <f>F7 * Parâmetros!B19 / 100</f>
        <v/>
      </c>
      <c r="H7">
        <f>B7 + G7 + Parâmetros!B3</f>
        <v/>
      </c>
    </row>
    <row r="8">
      <c r="A8" t="n">
        <v>7</v>
      </c>
      <c r="B8">
        <f>H7 + Parâmetros!B3</f>
        <v/>
      </c>
      <c r="C8">
        <f>B8 * Parâmetros!B5 / 100</f>
        <v/>
      </c>
      <c r="D8">
        <f>C8 * Parâmetros!B11 / 100</f>
        <v/>
      </c>
      <c r="E8">
        <f>(C8 * Parâmetros!B8 / 100) * Parâmetros!B10 / 100</f>
        <v/>
      </c>
      <c r="F8" t="n">
        <v>0</v>
      </c>
      <c r="G8">
        <f>F8 * Parâmetros!B19 / 100</f>
        <v/>
      </c>
      <c r="H8">
        <f>B8 + G8 + Parâmetros!B3</f>
        <v/>
      </c>
    </row>
    <row r="9">
      <c r="A9" t="n">
        <v>8</v>
      </c>
      <c r="B9">
        <f>H8 + Parâmetros!B3</f>
        <v/>
      </c>
      <c r="C9">
        <f>B9 * Parâmetros!B5 / 100</f>
        <v/>
      </c>
      <c r="D9">
        <f>C9 * Parâmetros!B11 / 100</f>
        <v/>
      </c>
      <c r="E9">
        <f>(C9 * Parâmetros!B8 / 100) * Parâmetros!B10 / 100</f>
        <v/>
      </c>
      <c r="F9" t="n">
        <v>0</v>
      </c>
      <c r="G9">
        <f>F9 * Parâmetros!B19 / 100</f>
        <v/>
      </c>
      <c r="H9">
        <f>B9 + G9 + Parâmetros!B3</f>
        <v/>
      </c>
    </row>
    <row r="10">
      <c r="A10" t="n">
        <v>9</v>
      </c>
      <c r="B10">
        <f>H9 + Parâmetros!B3</f>
        <v/>
      </c>
      <c r="C10">
        <f>B10 * Parâmetros!B5 / 100</f>
        <v/>
      </c>
      <c r="D10">
        <f>C10 * Parâmetros!B11 / 100</f>
        <v/>
      </c>
      <c r="E10">
        <f>(C10 * Parâmetros!B8 / 100) * Parâmetros!B10 / 100</f>
        <v/>
      </c>
      <c r="F10" t="n">
        <v>0</v>
      </c>
      <c r="G10">
        <f>F10 * Parâmetros!B19 / 100</f>
        <v/>
      </c>
      <c r="H10">
        <f>B10 + G10 + Parâmetros!B3</f>
        <v/>
      </c>
    </row>
    <row r="11">
      <c r="A11" t="n">
        <v>10</v>
      </c>
      <c r="B11">
        <f>H10 + Parâmetros!B3</f>
        <v/>
      </c>
      <c r="C11">
        <f>B11 * Parâmetros!B5 / 100</f>
        <v/>
      </c>
      <c r="D11">
        <f>C11 * Parâmetros!B11 / 100</f>
        <v/>
      </c>
      <c r="E11">
        <f>(C11 * Parâmetros!B8 / 100) * Parâmetros!B10 / 100</f>
        <v/>
      </c>
      <c r="F11" t="n">
        <v>0</v>
      </c>
      <c r="G11">
        <f>F11 * Parâmetros!B19 / 100</f>
        <v/>
      </c>
      <c r="H11">
        <f>B11 + G11 + Parâmetros!B3</f>
        <v/>
      </c>
    </row>
    <row r="12">
      <c r="A12" t="n">
        <v>11</v>
      </c>
      <c r="B12">
        <f>H11 + Parâmetros!B3</f>
        <v/>
      </c>
      <c r="C12">
        <f>B12 * Parâmetros!B5 / 100</f>
        <v/>
      </c>
      <c r="D12">
        <f>C12 * Parâmetros!B11 / 100</f>
        <v/>
      </c>
      <c r="E12">
        <f>(C12 * Parâmetros!B8 / 100) * Parâmetros!B10 / 100</f>
        <v/>
      </c>
      <c r="F12" t="n">
        <v>0</v>
      </c>
      <c r="G12">
        <f>F12 * Parâmetros!B19 / 100</f>
        <v/>
      </c>
      <c r="H12">
        <f>B12 + G12 + Parâmetros!B3</f>
        <v/>
      </c>
    </row>
    <row r="13">
      <c r="A13" t="n">
        <v>12</v>
      </c>
      <c r="B13">
        <f>H12 + Parâmetros!B3</f>
        <v/>
      </c>
      <c r="C13">
        <f>B13 * Parâmetros!B5 / 100</f>
        <v/>
      </c>
      <c r="D13">
        <f>C13 * Parâmetros!B11 / 100</f>
        <v/>
      </c>
      <c r="E13">
        <f>(C13 * Parâmetros!B8 / 100) * Parâmetros!B10 / 100</f>
        <v/>
      </c>
      <c r="F13" t="n">
        <v>0</v>
      </c>
      <c r="G13">
        <f>F13 * Parâmetros!B19 / 100</f>
        <v/>
      </c>
      <c r="H13">
        <f>B13 + G13 + Parâmetros!B3</f>
        <v/>
      </c>
    </row>
    <row r="14">
      <c r="A14" t="n">
        <v>13</v>
      </c>
      <c r="B14">
        <f>H13 + Parâmetros!B3</f>
        <v/>
      </c>
      <c r="C14">
        <f>B14 * Parâmetros!B5 / 100</f>
        <v/>
      </c>
      <c r="D14">
        <f>C14 * Parâmetros!B11 / 100</f>
        <v/>
      </c>
      <c r="E14">
        <f>(C14 * Parâmetros!B8 / 100) * Parâmetros!B10 / 100</f>
        <v/>
      </c>
      <c r="F14" t="n">
        <v>0</v>
      </c>
      <c r="G14">
        <f>F14 * Parâmetros!B19 / 100</f>
        <v/>
      </c>
      <c r="H14">
        <f>B14 + G14 + Parâmetros!B3</f>
        <v/>
      </c>
    </row>
    <row r="15">
      <c r="A15" t="n">
        <v>14</v>
      </c>
      <c r="B15">
        <f>H14 + Parâmetros!B3</f>
        <v/>
      </c>
      <c r="C15">
        <f>B15 * Parâmetros!B5 / 100</f>
        <v/>
      </c>
      <c r="D15">
        <f>C15 * Parâmetros!B11 / 100</f>
        <v/>
      </c>
      <c r="E15">
        <f>(C15 * Parâmetros!B8 / 100) * Parâmetros!B10 / 100</f>
        <v/>
      </c>
      <c r="F15" t="n">
        <v>0</v>
      </c>
      <c r="G15">
        <f>F15 * Parâmetros!B19 / 100</f>
        <v/>
      </c>
      <c r="H15">
        <f>B15 + G15 + Parâmetros!B3</f>
        <v/>
      </c>
    </row>
    <row r="16">
      <c r="A16" t="n">
        <v>15</v>
      </c>
      <c r="B16">
        <f>H15 + Parâmetros!B3</f>
        <v/>
      </c>
      <c r="C16">
        <f>B16 * Parâmetros!B5 / 100</f>
        <v/>
      </c>
      <c r="D16">
        <f>C16 * Parâmetros!B11 / 100</f>
        <v/>
      </c>
      <c r="E16">
        <f>(C16 * Parâmetros!B8 / 100) * Parâmetros!B10 / 100</f>
        <v/>
      </c>
      <c r="F16" t="n">
        <v>0</v>
      </c>
      <c r="G16">
        <f>F16 * Parâmetros!B19 / 100</f>
        <v/>
      </c>
      <c r="H16">
        <f>B16 + G16 + Parâmetros!B3</f>
        <v/>
      </c>
    </row>
    <row r="17">
      <c r="A17" t="n">
        <v>16</v>
      </c>
      <c r="B17">
        <f>H16 + Parâmetros!B3</f>
        <v/>
      </c>
      <c r="C17">
        <f>B17 * Parâmetros!B5 / 100</f>
        <v/>
      </c>
      <c r="D17">
        <f>C17 * Parâmetros!B11 / 100</f>
        <v/>
      </c>
      <c r="E17">
        <f>(C17 * Parâmetros!B8 / 100) * Parâmetros!B10 / 100</f>
        <v/>
      </c>
      <c r="F17" t="n">
        <v>0</v>
      </c>
      <c r="G17">
        <f>F17 * Parâmetros!B19 / 100</f>
        <v/>
      </c>
      <c r="H17">
        <f>B17 + G17 + Parâmetros!B3</f>
        <v/>
      </c>
    </row>
    <row r="18">
      <c r="A18" t="n">
        <v>17</v>
      </c>
      <c r="B18">
        <f>H17 + Parâmetros!B3</f>
        <v/>
      </c>
      <c r="C18">
        <f>B18 * Parâmetros!B5 / 100</f>
        <v/>
      </c>
      <c r="D18">
        <f>C18 * Parâmetros!B11 / 100</f>
        <v/>
      </c>
      <c r="E18">
        <f>(C18 * Parâmetros!B8 / 100) * Parâmetros!B10 / 100</f>
        <v/>
      </c>
      <c r="F18" t="n">
        <v>0</v>
      </c>
      <c r="G18">
        <f>F18 * Parâmetros!B19 / 100</f>
        <v/>
      </c>
      <c r="H18">
        <f>B18 + G18 + Parâmetros!B3</f>
        <v/>
      </c>
    </row>
    <row r="19">
      <c r="A19" t="n">
        <v>18</v>
      </c>
      <c r="B19">
        <f>H18 + Parâmetros!B3</f>
        <v/>
      </c>
      <c r="C19">
        <f>B19 * Parâmetros!B5 / 100</f>
        <v/>
      </c>
      <c r="D19">
        <f>C19 * Parâmetros!B11 / 100</f>
        <v/>
      </c>
      <c r="E19">
        <f>(C19 * Parâmetros!B8 / 100) * Parâmetros!B10 / 100</f>
        <v/>
      </c>
      <c r="F19" t="n">
        <v>0</v>
      </c>
      <c r="G19">
        <f>F19 * Parâmetros!B19 / 100</f>
        <v/>
      </c>
      <c r="H19">
        <f>B19 + G19 + Parâmetros!B3</f>
        <v/>
      </c>
    </row>
    <row r="20">
      <c r="A20" t="n">
        <v>19</v>
      </c>
      <c r="B20">
        <f>H19 + Parâmetros!B3</f>
        <v/>
      </c>
      <c r="C20">
        <f>B20 * Parâmetros!B5 / 100</f>
        <v/>
      </c>
      <c r="D20">
        <f>C20 * Parâmetros!B11 / 100</f>
        <v/>
      </c>
      <c r="E20">
        <f>(C20 * Parâmetros!B8 / 100) * Parâmetros!B10 / 100</f>
        <v/>
      </c>
      <c r="F20" t="n">
        <v>0</v>
      </c>
      <c r="G20">
        <f>F20 * Parâmetros!B19 / 100</f>
        <v/>
      </c>
      <c r="H20">
        <f>B20 + G20 + Parâmetros!B3</f>
        <v/>
      </c>
    </row>
    <row r="21">
      <c r="A21" t="n">
        <v>20</v>
      </c>
      <c r="B21">
        <f>H20 + Parâmetros!B3</f>
        <v/>
      </c>
      <c r="C21">
        <f>B21 * Parâmetros!B5 / 100</f>
        <v/>
      </c>
      <c r="D21">
        <f>C21 * Parâmetros!B11 / 100</f>
        <v/>
      </c>
      <c r="E21">
        <f>(C21 * Parâmetros!B8 / 100) * Parâmetros!B10 / 100</f>
        <v/>
      </c>
      <c r="F21" t="n">
        <v>0</v>
      </c>
      <c r="G21">
        <f>F21 * Parâmetros!B19 / 100</f>
        <v/>
      </c>
      <c r="H21">
        <f>B21 + G21 + Parâmetros!B3</f>
        <v/>
      </c>
    </row>
    <row r="22">
      <c r="A22" t="n">
        <v>21</v>
      </c>
      <c r="B22">
        <f>H21 + Parâmetros!B3</f>
        <v/>
      </c>
      <c r="C22">
        <f>B22 * Parâmetros!B5 / 100</f>
        <v/>
      </c>
      <c r="D22">
        <f>C22 * Parâmetros!B11 / 100</f>
        <v/>
      </c>
      <c r="E22">
        <f>(C22 * Parâmetros!B8 / 100) * Parâmetros!B10 / 100</f>
        <v/>
      </c>
      <c r="F22" t="n">
        <v>0</v>
      </c>
      <c r="G22">
        <f>F22 * Parâmetros!B19 / 100</f>
        <v/>
      </c>
      <c r="H22">
        <f>B22 + G22 + Parâmetros!B3</f>
        <v/>
      </c>
    </row>
    <row r="23">
      <c r="A23" t="n">
        <v>22</v>
      </c>
      <c r="B23">
        <f>H22 + Parâmetros!B3</f>
        <v/>
      </c>
      <c r="C23">
        <f>B23 * Parâmetros!B5 / 100</f>
        <v/>
      </c>
      <c r="D23">
        <f>C23 * Parâmetros!B11 / 100</f>
        <v/>
      </c>
      <c r="E23">
        <f>(C23 * Parâmetros!B8 / 100) * Parâmetros!B10 / 100</f>
        <v/>
      </c>
      <c r="F23" t="n">
        <v>0</v>
      </c>
      <c r="G23">
        <f>F23 * Parâmetros!B19 / 100</f>
        <v/>
      </c>
      <c r="H23">
        <f>B23 + G23 + Parâmetros!B3</f>
        <v/>
      </c>
    </row>
    <row r="24">
      <c r="A24" t="n">
        <v>23</v>
      </c>
      <c r="B24">
        <f>H23 + Parâmetros!B3</f>
        <v/>
      </c>
      <c r="C24">
        <f>B24 * Parâmetros!B5 / 100</f>
        <v/>
      </c>
      <c r="D24">
        <f>C24 * Parâmetros!B11 / 100</f>
        <v/>
      </c>
      <c r="E24">
        <f>(C24 * Parâmetros!B8 / 100) * Parâmetros!B10 / 100</f>
        <v/>
      </c>
      <c r="F24" t="n">
        <v>0</v>
      </c>
      <c r="G24">
        <f>F24 * Parâmetros!B19 / 100</f>
        <v/>
      </c>
      <c r="H24">
        <f>B24 + G24 + Parâmetros!B3</f>
        <v/>
      </c>
    </row>
    <row r="25">
      <c r="A25" t="n">
        <v>24</v>
      </c>
      <c r="B25">
        <f>H24 + Parâmetros!B3</f>
        <v/>
      </c>
      <c r="C25">
        <f>B25 * Parâmetros!B5 / 100</f>
        <v/>
      </c>
      <c r="D25">
        <f>C25 * Parâmetros!B11 / 100</f>
        <v/>
      </c>
      <c r="E25">
        <f>(C25 * Parâmetros!B8 / 100) * Parâmetros!B10 / 100</f>
        <v/>
      </c>
      <c r="F25" t="n">
        <v>0</v>
      </c>
      <c r="G25">
        <f>F25 * Parâmetros!B19 / 100</f>
        <v/>
      </c>
      <c r="H25">
        <f>B25 + G25 + Parâmetros!B3</f>
        <v/>
      </c>
    </row>
    <row r="26">
      <c r="A26" t="n">
        <v>25</v>
      </c>
      <c r="B26">
        <f>H25 + Parâmetros!B3</f>
        <v/>
      </c>
      <c r="C26">
        <f>B26 * Parâmetros!B5 / 100</f>
        <v/>
      </c>
      <c r="D26">
        <f>C26 * Parâmetros!B11 / 100</f>
        <v/>
      </c>
      <c r="E26">
        <f>(C26 * Parâmetros!B8 / 100) * Parâmetros!B10 / 100</f>
        <v/>
      </c>
      <c r="F26" t="n">
        <v>0</v>
      </c>
      <c r="G26">
        <f>F26 * Parâmetros!B19 / 100</f>
        <v/>
      </c>
      <c r="H26">
        <f>B26 + G26 + Parâmetros!B3</f>
        <v/>
      </c>
    </row>
    <row r="27">
      <c r="A27" t="n">
        <v>26</v>
      </c>
      <c r="B27">
        <f>H26 + Parâmetros!B3</f>
        <v/>
      </c>
      <c r="C27">
        <f>B27 * Parâmetros!B5 / 100</f>
        <v/>
      </c>
      <c r="D27">
        <f>C27 * Parâmetros!B11 / 100</f>
        <v/>
      </c>
      <c r="E27">
        <f>(C27 * Parâmetros!B8 / 100) * Parâmetros!B10 / 100</f>
        <v/>
      </c>
      <c r="F27" t="n">
        <v>0</v>
      </c>
      <c r="G27">
        <f>F27 * Parâmetros!B19 / 100</f>
        <v/>
      </c>
      <c r="H27">
        <f>B27 + G27 + Parâmetros!B3</f>
        <v/>
      </c>
    </row>
    <row r="28">
      <c r="A28" t="n">
        <v>27</v>
      </c>
      <c r="B28">
        <f>H27 + Parâmetros!B3</f>
        <v/>
      </c>
      <c r="C28">
        <f>B28 * Parâmetros!B5 / 100</f>
        <v/>
      </c>
      <c r="D28">
        <f>C28 * Parâmetros!B11 / 100</f>
        <v/>
      </c>
      <c r="E28">
        <f>(C28 * Parâmetros!B8 / 100) * Parâmetros!B10 / 100</f>
        <v/>
      </c>
      <c r="F28" t="n">
        <v>0</v>
      </c>
      <c r="G28">
        <f>F28 * Parâmetros!B19 / 100</f>
        <v/>
      </c>
      <c r="H28">
        <f>B28 + G28 + Parâmetros!B3</f>
        <v/>
      </c>
    </row>
    <row r="29">
      <c r="A29" t="n">
        <v>28</v>
      </c>
      <c r="B29">
        <f>H28 + Parâmetros!B3</f>
        <v/>
      </c>
      <c r="C29">
        <f>B29 * Parâmetros!B5 / 100</f>
        <v/>
      </c>
      <c r="D29">
        <f>C29 * Parâmetros!B11 / 100</f>
        <v/>
      </c>
      <c r="E29">
        <f>(C29 * Parâmetros!B8 / 100) * Parâmetros!B10 / 100</f>
        <v/>
      </c>
      <c r="F29" t="n">
        <v>0</v>
      </c>
      <c r="G29">
        <f>F29 * Parâmetros!B19 / 100</f>
        <v/>
      </c>
      <c r="H29">
        <f>B29 + G29 + Parâmetros!B3</f>
        <v/>
      </c>
    </row>
    <row r="30">
      <c r="A30" t="n">
        <v>29</v>
      </c>
      <c r="B30">
        <f>H29 + Parâmetros!B3</f>
        <v/>
      </c>
      <c r="C30">
        <f>B30 * Parâmetros!B5 / 100</f>
        <v/>
      </c>
      <c r="D30">
        <f>C30 * Parâmetros!B11 / 100</f>
        <v/>
      </c>
      <c r="E30">
        <f>(C30 * Parâmetros!B8 / 100) * Parâmetros!B10 / 100</f>
        <v/>
      </c>
      <c r="F30" t="n">
        <v>0</v>
      </c>
      <c r="G30">
        <f>F30 * Parâmetros!B19 / 100</f>
        <v/>
      </c>
      <c r="H30">
        <f>B30 + G30 + Parâmetros!B3</f>
        <v/>
      </c>
    </row>
    <row r="31">
      <c r="A31" t="n">
        <v>30</v>
      </c>
      <c r="B31">
        <f>H30 + Parâmetros!B3</f>
        <v/>
      </c>
      <c r="C31">
        <f>B31 * Parâmetros!B5 / 100</f>
        <v/>
      </c>
      <c r="D31">
        <f>C31 * Parâmetros!B11 / 100</f>
        <v/>
      </c>
      <c r="E31">
        <f>(C31 * Parâmetros!B8 / 100) * Parâmetros!B10 / 100</f>
        <v/>
      </c>
      <c r="F31" t="n">
        <v>0</v>
      </c>
      <c r="G31">
        <f>F31 * Parâmetros!B19 / 100</f>
        <v/>
      </c>
      <c r="H31">
        <f>B31 + G31 + Parâmetros!B3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Saldo Inicial</t>
        </is>
      </c>
      <c r="C1" t="inlineStr">
        <is>
          <t>Rendimento Bruto</t>
        </is>
      </c>
      <c r="D1" t="inlineStr">
        <is>
          <t>IRPJ/CSLL Efetivo</t>
        </is>
      </c>
      <c r="E1" t="inlineStr">
        <is>
          <t>Custos da Holding</t>
        </is>
      </c>
      <c r="F1" t="inlineStr">
        <is>
          <t>Lucro Líquido PJ</t>
        </is>
      </c>
      <c r="G1" t="inlineStr">
        <is>
          <t>Distribuição</t>
        </is>
      </c>
      <c r="H1" t="inlineStr">
        <is>
          <t>Tributação na Saída para PF</t>
        </is>
      </c>
      <c r="I1" t="inlineStr">
        <is>
          <t>Líquido para PF</t>
        </is>
      </c>
      <c r="J1" t="inlineStr">
        <is>
          <t>Reinvestimento em PJ</t>
        </is>
      </c>
      <c r="K1" t="inlineStr">
        <is>
          <t>Saldo Final</t>
        </is>
      </c>
    </row>
    <row r="2">
      <c r="A2" t="n">
        <v>1</v>
      </c>
      <c r="B2">
        <f>Parâmetros!B2</f>
        <v/>
      </c>
      <c r="C2">
        <f>B2 * Parâmetros!B5 / 100</f>
        <v/>
      </c>
      <c r="D2">
        <f>C2 * Parâmetros!B12 / 100</f>
        <v/>
      </c>
      <c r="E2">
        <f>Parâmetros!B14 + Parâmetros!B15</f>
        <v/>
      </c>
      <c r="F2" t="n">
        <v>0</v>
      </c>
      <c r="G2">
        <f>IF(F2&gt;0, F2 * Parâmetros!B8 / 100, 0)</f>
        <v/>
      </c>
      <c r="H2">
        <f>G2 * Parâmetros!B13 / 100</f>
        <v/>
      </c>
      <c r="I2" t="n">
        <v>0</v>
      </c>
      <c r="J2">
        <f>IF(F2&gt;0, F2 - G2, 0)</f>
        <v/>
      </c>
      <c r="K2">
        <f>B2 + J2 + Parâmetros!B3</f>
        <v/>
      </c>
    </row>
    <row r="3">
      <c r="A3" t="n">
        <v>2</v>
      </c>
      <c r="B3">
        <f>K2 + Parâmetros!B3</f>
        <v/>
      </c>
      <c r="C3">
        <f>B3 * Parâmetros!B5 / 100</f>
        <v/>
      </c>
      <c r="D3">
        <f>C3 * Parâmetros!B12 / 100</f>
        <v/>
      </c>
      <c r="E3">
        <f>Parâmetros!B14 + Parâmetros!B15</f>
        <v/>
      </c>
      <c r="F3" t="n">
        <v>0</v>
      </c>
      <c r="G3">
        <f>IF(F3&gt;0, F3 * Parâmetros!B8 / 100, 0)</f>
        <v/>
      </c>
      <c r="H3">
        <f>G3 * Parâmetros!B13 / 100</f>
        <v/>
      </c>
      <c r="I3" t="n">
        <v>0</v>
      </c>
      <c r="J3">
        <f>IF(F3&gt;0, F3 - G3, 0)</f>
        <v/>
      </c>
      <c r="K3">
        <f>B3 + J3 + Parâmetros!B3</f>
        <v/>
      </c>
    </row>
    <row r="4">
      <c r="A4" t="n">
        <v>3</v>
      </c>
      <c r="B4">
        <f>K3 + Parâmetros!B3</f>
        <v/>
      </c>
      <c r="C4">
        <f>B4 * Parâmetros!B5 / 100</f>
        <v/>
      </c>
      <c r="D4">
        <f>C4 * Parâmetros!B12 / 100</f>
        <v/>
      </c>
      <c r="E4">
        <f>Parâmetros!B14 + Parâmetros!B15</f>
        <v/>
      </c>
      <c r="F4" t="n">
        <v>0</v>
      </c>
      <c r="G4">
        <f>IF(F4&gt;0, F4 * Parâmetros!B8 / 100, 0)</f>
        <v/>
      </c>
      <c r="H4">
        <f>G4 * Parâmetros!B13 / 100</f>
        <v/>
      </c>
      <c r="I4" t="n">
        <v>0</v>
      </c>
      <c r="J4">
        <f>IF(F4&gt;0, F4 - G4, 0)</f>
        <v/>
      </c>
      <c r="K4">
        <f>B4 + J4 + Parâmetros!B3</f>
        <v/>
      </c>
    </row>
    <row r="5">
      <c r="A5" t="n">
        <v>4</v>
      </c>
      <c r="B5">
        <f>K4 + Parâmetros!B3</f>
        <v/>
      </c>
      <c r="C5">
        <f>B5 * Parâmetros!B5 / 100</f>
        <v/>
      </c>
      <c r="D5">
        <f>C5 * Parâmetros!B12 / 100</f>
        <v/>
      </c>
      <c r="E5">
        <f>Parâmetros!B14 + Parâmetros!B15</f>
        <v/>
      </c>
      <c r="F5" t="n">
        <v>0</v>
      </c>
      <c r="G5">
        <f>IF(F5&gt;0, F5 * Parâmetros!B8 / 100, 0)</f>
        <v/>
      </c>
      <c r="H5">
        <f>G5 * Parâmetros!B13 / 100</f>
        <v/>
      </c>
      <c r="I5" t="n">
        <v>0</v>
      </c>
      <c r="J5">
        <f>IF(F5&gt;0, F5 - G5, 0)</f>
        <v/>
      </c>
      <c r="K5">
        <f>B5 + J5 + Parâmetros!B3</f>
        <v/>
      </c>
    </row>
    <row r="6">
      <c r="A6" t="n">
        <v>5</v>
      </c>
      <c r="B6">
        <f>K5 + Parâmetros!B3</f>
        <v/>
      </c>
      <c r="C6">
        <f>B6 * Parâmetros!B5 / 100</f>
        <v/>
      </c>
      <c r="D6">
        <f>C6 * Parâmetros!B12 / 100</f>
        <v/>
      </c>
      <c r="E6">
        <f>Parâmetros!B14 + Parâmetros!B15</f>
        <v/>
      </c>
      <c r="F6" t="n">
        <v>0</v>
      </c>
      <c r="G6">
        <f>IF(F6&gt;0, F6 * Parâmetros!B8 / 100, 0)</f>
        <v/>
      </c>
      <c r="H6">
        <f>G6 * Parâmetros!B13 / 100</f>
        <v/>
      </c>
      <c r="I6" t="n">
        <v>0</v>
      </c>
      <c r="J6">
        <f>IF(F6&gt;0, F6 - G6, 0)</f>
        <v/>
      </c>
      <c r="K6">
        <f>B6 + J6 + Parâmetros!B3</f>
        <v/>
      </c>
    </row>
    <row r="7">
      <c r="A7" t="n">
        <v>6</v>
      </c>
      <c r="B7">
        <f>K6 + Parâmetros!B3</f>
        <v/>
      </c>
      <c r="C7">
        <f>B7 * Parâmetros!B5 / 100</f>
        <v/>
      </c>
      <c r="D7">
        <f>C7 * Parâmetros!B12 / 100</f>
        <v/>
      </c>
      <c r="E7">
        <f>Parâmetros!B14 + Parâmetros!B15</f>
        <v/>
      </c>
      <c r="F7" t="n">
        <v>0</v>
      </c>
      <c r="G7">
        <f>IF(F7&gt;0, F7 * Parâmetros!B8 / 100, 0)</f>
        <v/>
      </c>
      <c r="H7">
        <f>G7 * Parâmetros!B13 / 100</f>
        <v/>
      </c>
      <c r="I7" t="n">
        <v>0</v>
      </c>
      <c r="J7">
        <f>IF(F7&gt;0, F7 - G7, 0)</f>
        <v/>
      </c>
      <c r="K7">
        <f>B7 + J7 + Parâmetros!B3</f>
        <v/>
      </c>
    </row>
    <row r="8">
      <c r="A8" t="n">
        <v>7</v>
      </c>
      <c r="B8">
        <f>K7 + Parâmetros!B3</f>
        <v/>
      </c>
      <c r="C8">
        <f>B8 * Parâmetros!B5 / 100</f>
        <v/>
      </c>
      <c r="D8">
        <f>C8 * Parâmetros!B12 / 100</f>
        <v/>
      </c>
      <c r="E8">
        <f>Parâmetros!B14 + Parâmetros!B15</f>
        <v/>
      </c>
      <c r="F8" t="n">
        <v>0</v>
      </c>
      <c r="G8">
        <f>IF(F8&gt;0, F8 * Parâmetros!B8 / 100, 0)</f>
        <v/>
      </c>
      <c r="H8">
        <f>G8 * Parâmetros!B13 / 100</f>
        <v/>
      </c>
      <c r="I8" t="n">
        <v>0</v>
      </c>
      <c r="J8">
        <f>IF(F8&gt;0, F8 - G8, 0)</f>
        <v/>
      </c>
      <c r="K8">
        <f>B8 + J8 + Parâmetros!B3</f>
        <v/>
      </c>
    </row>
    <row r="9">
      <c r="A9" t="n">
        <v>8</v>
      </c>
      <c r="B9">
        <f>K8 + Parâmetros!B3</f>
        <v/>
      </c>
      <c r="C9">
        <f>B9 * Parâmetros!B5 / 100</f>
        <v/>
      </c>
      <c r="D9">
        <f>C9 * Parâmetros!B12 / 100</f>
        <v/>
      </c>
      <c r="E9">
        <f>Parâmetros!B14 + Parâmetros!B15</f>
        <v/>
      </c>
      <c r="F9" t="n">
        <v>0</v>
      </c>
      <c r="G9">
        <f>IF(F9&gt;0, F9 * Parâmetros!B8 / 100, 0)</f>
        <v/>
      </c>
      <c r="H9">
        <f>G9 * Parâmetros!B13 / 100</f>
        <v/>
      </c>
      <c r="I9" t="n">
        <v>0</v>
      </c>
      <c r="J9">
        <f>IF(F9&gt;0, F9 - G9, 0)</f>
        <v/>
      </c>
      <c r="K9">
        <f>B9 + J9 + Parâmetros!B3</f>
        <v/>
      </c>
    </row>
    <row r="10">
      <c r="A10" t="n">
        <v>9</v>
      </c>
      <c r="B10">
        <f>K9 + Parâmetros!B3</f>
        <v/>
      </c>
      <c r="C10">
        <f>B10 * Parâmetros!B5 / 100</f>
        <v/>
      </c>
      <c r="D10">
        <f>C10 * Parâmetros!B12 / 100</f>
        <v/>
      </c>
      <c r="E10">
        <f>Parâmetros!B14 + Parâmetros!B15</f>
        <v/>
      </c>
      <c r="F10" t="n">
        <v>0</v>
      </c>
      <c r="G10">
        <f>IF(F10&gt;0, F10 * Parâmetros!B8 / 100, 0)</f>
        <v/>
      </c>
      <c r="H10">
        <f>G10 * Parâmetros!B13 / 100</f>
        <v/>
      </c>
      <c r="I10" t="n">
        <v>0</v>
      </c>
      <c r="J10">
        <f>IF(F10&gt;0, F10 - G10, 0)</f>
        <v/>
      </c>
      <c r="K10">
        <f>B10 + J10 + Parâmetros!B3</f>
        <v/>
      </c>
    </row>
    <row r="11">
      <c r="A11" t="n">
        <v>10</v>
      </c>
      <c r="B11">
        <f>K10 + Parâmetros!B3</f>
        <v/>
      </c>
      <c r="C11">
        <f>B11 * Parâmetros!B5 / 100</f>
        <v/>
      </c>
      <c r="D11">
        <f>C11 * Parâmetros!B12 / 100</f>
        <v/>
      </c>
      <c r="E11">
        <f>Parâmetros!B14 + Parâmetros!B15</f>
        <v/>
      </c>
      <c r="F11" t="n">
        <v>0</v>
      </c>
      <c r="G11">
        <f>IF(F11&gt;0, F11 * Parâmetros!B8 / 100, 0)</f>
        <v/>
      </c>
      <c r="H11">
        <f>G11 * Parâmetros!B13 / 100</f>
        <v/>
      </c>
      <c r="I11" t="n">
        <v>0</v>
      </c>
      <c r="J11">
        <f>IF(F11&gt;0, F11 - G11, 0)</f>
        <v/>
      </c>
      <c r="K11">
        <f>B11 + J11 + Parâmetros!B3</f>
        <v/>
      </c>
    </row>
    <row r="12">
      <c r="A12" t="n">
        <v>11</v>
      </c>
      <c r="B12">
        <f>K11 + Parâmetros!B3</f>
        <v/>
      </c>
      <c r="C12">
        <f>B12 * Parâmetros!B5 / 100</f>
        <v/>
      </c>
      <c r="D12">
        <f>C12 * Parâmetros!B12 / 100</f>
        <v/>
      </c>
      <c r="E12">
        <f>Parâmetros!B14 + Parâmetros!B15</f>
        <v/>
      </c>
      <c r="F12" t="n">
        <v>0</v>
      </c>
      <c r="G12">
        <f>IF(F12&gt;0, F12 * Parâmetros!B8 / 100, 0)</f>
        <v/>
      </c>
      <c r="H12">
        <f>G12 * Parâmetros!B13 / 100</f>
        <v/>
      </c>
      <c r="I12" t="n">
        <v>0</v>
      </c>
      <c r="J12">
        <f>IF(F12&gt;0, F12 - G12, 0)</f>
        <v/>
      </c>
      <c r="K12">
        <f>B12 + J12 + Parâmetros!B3</f>
        <v/>
      </c>
    </row>
    <row r="13">
      <c r="A13" t="n">
        <v>12</v>
      </c>
      <c r="B13">
        <f>K12 + Parâmetros!B3</f>
        <v/>
      </c>
      <c r="C13">
        <f>B13 * Parâmetros!B5 / 100</f>
        <v/>
      </c>
      <c r="D13">
        <f>C13 * Parâmetros!B12 / 100</f>
        <v/>
      </c>
      <c r="E13">
        <f>Parâmetros!B14 + Parâmetros!B15</f>
        <v/>
      </c>
      <c r="F13" t="n">
        <v>0</v>
      </c>
      <c r="G13">
        <f>IF(F13&gt;0, F13 * Parâmetros!B8 / 100, 0)</f>
        <v/>
      </c>
      <c r="H13">
        <f>G13 * Parâmetros!B13 / 100</f>
        <v/>
      </c>
      <c r="I13" t="n">
        <v>0</v>
      </c>
      <c r="J13">
        <f>IF(F13&gt;0, F13 - G13, 0)</f>
        <v/>
      </c>
      <c r="K13">
        <f>B13 + J13 + Parâmetros!B3</f>
        <v/>
      </c>
    </row>
    <row r="14">
      <c r="A14" t="n">
        <v>13</v>
      </c>
      <c r="B14">
        <f>K13 + Parâmetros!B3</f>
        <v/>
      </c>
      <c r="C14">
        <f>B14 * Parâmetros!B5 / 100</f>
        <v/>
      </c>
      <c r="D14">
        <f>C14 * Parâmetros!B12 / 100</f>
        <v/>
      </c>
      <c r="E14">
        <f>Parâmetros!B14 + Parâmetros!B15</f>
        <v/>
      </c>
      <c r="F14" t="n">
        <v>0</v>
      </c>
      <c r="G14">
        <f>IF(F14&gt;0, F14 * Parâmetros!B8 / 100, 0)</f>
        <v/>
      </c>
      <c r="H14">
        <f>G14 * Parâmetros!B13 / 100</f>
        <v/>
      </c>
      <c r="I14" t="n">
        <v>0</v>
      </c>
      <c r="J14">
        <f>IF(F14&gt;0, F14 - G14, 0)</f>
        <v/>
      </c>
      <c r="K14">
        <f>B14 + J14 + Parâmetros!B3</f>
        <v/>
      </c>
    </row>
    <row r="15">
      <c r="A15" t="n">
        <v>14</v>
      </c>
      <c r="B15">
        <f>K14 + Parâmetros!B3</f>
        <v/>
      </c>
      <c r="C15">
        <f>B15 * Parâmetros!B5 / 100</f>
        <v/>
      </c>
      <c r="D15">
        <f>C15 * Parâmetros!B12 / 100</f>
        <v/>
      </c>
      <c r="E15">
        <f>Parâmetros!B14 + Parâmetros!B15</f>
        <v/>
      </c>
      <c r="F15" t="n">
        <v>0</v>
      </c>
      <c r="G15">
        <f>IF(F15&gt;0, F15 * Parâmetros!B8 / 100, 0)</f>
        <v/>
      </c>
      <c r="H15">
        <f>G15 * Parâmetros!B13 / 100</f>
        <v/>
      </c>
      <c r="I15" t="n">
        <v>0</v>
      </c>
      <c r="J15">
        <f>IF(F15&gt;0, F15 - G15, 0)</f>
        <v/>
      </c>
      <c r="K15">
        <f>B15 + J15 + Parâmetros!B3</f>
        <v/>
      </c>
    </row>
    <row r="16">
      <c r="A16" t="n">
        <v>15</v>
      </c>
      <c r="B16">
        <f>K15 + Parâmetros!B3</f>
        <v/>
      </c>
      <c r="C16">
        <f>B16 * Parâmetros!B5 / 100</f>
        <v/>
      </c>
      <c r="D16">
        <f>C16 * Parâmetros!B12 / 100</f>
        <v/>
      </c>
      <c r="E16">
        <f>Parâmetros!B14 + Parâmetros!B15</f>
        <v/>
      </c>
      <c r="F16" t="n">
        <v>0</v>
      </c>
      <c r="G16">
        <f>IF(F16&gt;0, F16 * Parâmetros!B8 / 100, 0)</f>
        <v/>
      </c>
      <c r="H16">
        <f>G16 * Parâmetros!B13 / 100</f>
        <v/>
      </c>
      <c r="I16" t="n">
        <v>0</v>
      </c>
      <c r="J16">
        <f>IF(F16&gt;0, F16 - G16, 0)</f>
        <v/>
      </c>
      <c r="K16">
        <f>B16 + J16 + Parâmetros!B3</f>
        <v/>
      </c>
    </row>
    <row r="17">
      <c r="A17" t="n">
        <v>16</v>
      </c>
      <c r="B17">
        <f>K16 + Parâmetros!B3</f>
        <v/>
      </c>
      <c r="C17">
        <f>B17 * Parâmetros!B5 / 100</f>
        <v/>
      </c>
      <c r="D17">
        <f>C17 * Parâmetros!B12 / 100</f>
        <v/>
      </c>
      <c r="E17">
        <f>Parâmetros!B14 + Parâmetros!B15</f>
        <v/>
      </c>
      <c r="F17" t="n">
        <v>0</v>
      </c>
      <c r="G17">
        <f>IF(F17&gt;0, F17 * Parâmetros!B8 / 100, 0)</f>
        <v/>
      </c>
      <c r="H17">
        <f>G17 * Parâmetros!B13 / 100</f>
        <v/>
      </c>
      <c r="I17" t="n">
        <v>0</v>
      </c>
      <c r="J17">
        <f>IF(F17&gt;0, F17 - G17, 0)</f>
        <v/>
      </c>
      <c r="K17">
        <f>B17 + J17 + Parâmetros!B3</f>
        <v/>
      </c>
    </row>
    <row r="18">
      <c r="A18" t="n">
        <v>17</v>
      </c>
      <c r="B18">
        <f>K17 + Parâmetros!B3</f>
        <v/>
      </c>
      <c r="C18">
        <f>B18 * Parâmetros!B5 / 100</f>
        <v/>
      </c>
      <c r="D18">
        <f>C18 * Parâmetros!B12 / 100</f>
        <v/>
      </c>
      <c r="E18">
        <f>Parâmetros!B14 + Parâmetros!B15</f>
        <v/>
      </c>
      <c r="F18" t="n">
        <v>0</v>
      </c>
      <c r="G18">
        <f>IF(F18&gt;0, F18 * Parâmetros!B8 / 100, 0)</f>
        <v/>
      </c>
      <c r="H18">
        <f>G18 * Parâmetros!B13 / 100</f>
        <v/>
      </c>
      <c r="I18" t="n">
        <v>0</v>
      </c>
      <c r="J18">
        <f>IF(F18&gt;0, F18 - G18, 0)</f>
        <v/>
      </c>
      <c r="K18">
        <f>B18 + J18 + Parâmetros!B3</f>
        <v/>
      </c>
    </row>
    <row r="19">
      <c r="A19" t="n">
        <v>18</v>
      </c>
      <c r="B19">
        <f>K18 + Parâmetros!B3</f>
        <v/>
      </c>
      <c r="C19">
        <f>B19 * Parâmetros!B5 / 100</f>
        <v/>
      </c>
      <c r="D19">
        <f>C19 * Parâmetros!B12 / 100</f>
        <v/>
      </c>
      <c r="E19">
        <f>Parâmetros!B14 + Parâmetros!B15</f>
        <v/>
      </c>
      <c r="F19" t="n">
        <v>0</v>
      </c>
      <c r="G19">
        <f>IF(F19&gt;0, F19 * Parâmetros!B8 / 100, 0)</f>
        <v/>
      </c>
      <c r="H19">
        <f>G19 * Parâmetros!B13 / 100</f>
        <v/>
      </c>
      <c r="I19" t="n">
        <v>0</v>
      </c>
      <c r="J19">
        <f>IF(F19&gt;0, F19 - G19, 0)</f>
        <v/>
      </c>
      <c r="K19">
        <f>B19 + J19 + Parâmetros!B3</f>
        <v/>
      </c>
    </row>
    <row r="20">
      <c r="A20" t="n">
        <v>19</v>
      </c>
      <c r="B20">
        <f>K19 + Parâmetros!B3</f>
        <v/>
      </c>
      <c r="C20">
        <f>B20 * Parâmetros!B5 / 100</f>
        <v/>
      </c>
      <c r="D20">
        <f>C20 * Parâmetros!B12 / 100</f>
        <v/>
      </c>
      <c r="E20">
        <f>Parâmetros!B14 + Parâmetros!B15</f>
        <v/>
      </c>
      <c r="F20" t="n">
        <v>0</v>
      </c>
      <c r="G20">
        <f>IF(F20&gt;0, F20 * Parâmetros!B8 / 100, 0)</f>
        <v/>
      </c>
      <c r="H20">
        <f>G20 * Parâmetros!B13 / 100</f>
        <v/>
      </c>
      <c r="I20" t="n">
        <v>0</v>
      </c>
      <c r="J20">
        <f>IF(F20&gt;0, F20 - G20, 0)</f>
        <v/>
      </c>
      <c r="K20">
        <f>B20 + J20 + Parâmetros!B3</f>
        <v/>
      </c>
    </row>
    <row r="21">
      <c r="A21" t="n">
        <v>20</v>
      </c>
      <c r="B21">
        <f>K20 + Parâmetros!B3</f>
        <v/>
      </c>
      <c r="C21">
        <f>B21 * Parâmetros!B5 / 100</f>
        <v/>
      </c>
      <c r="D21">
        <f>C21 * Parâmetros!B12 / 100</f>
        <v/>
      </c>
      <c r="E21">
        <f>Parâmetros!B14 + Parâmetros!B15</f>
        <v/>
      </c>
      <c r="F21" t="n">
        <v>0</v>
      </c>
      <c r="G21">
        <f>IF(F21&gt;0, F21 * Parâmetros!B8 / 100, 0)</f>
        <v/>
      </c>
      <c r="H21">
        <f>G21 * Parâmetros!B13 / 100</f>
        <v/>
      </c>
      <c r="I21" t="n">
        <v>0</v>
      </c>
      <c r="J21">
        <f>IF(F21&gt;0, F21 - G21, 0)</f>
        <v/>
      </c>
      <c r="K21">
        <f>B21 + J21 + Parâmetros!B3</f>
        <v/>
      </c>
    </row>
    <row r="22">
      <c r="A22" t="n">
        <v>21</v>
      </c>
      <c r="B22">
        <f>K21 + Parâmetros!B3</f>
        <v/>
      </c>
      <c r="C22">
        <f>B22 * Parâmetros!B5 / 100</f>
        <v/>
      </c>
      <c r="D22">
        <f>C22 * Parâmetros!B12 / 100</f>
        <v/>
      </c>
      <c r="E22">
        <f>Parâmetros!B14 + Parâmetros!B15</f>
        <v/>
      </c>
      <c r="F22" t="n">
        <v>0</v>
      </c>
      <c r="G22">
        <f>IF(F22&gt;0, F22 * Parâmetros!B8 / 100, 0)</f>
        <v/>
      </c>
      <c r="H22">
        <f>G22 * Parâmetros!B13 / 100</f>
        <v/>
      </c>
      <c r="I22" t="n">
        <v>0</v>
      </c>
      <c r="J22">
        <f>IF(F22&gt;0, F22 - G22, 0)</f>
        <v/>
      </c>
      <c r="K22">
        <f>B22 + J22 + Parâmetros!B3</f>
        <v/>
      </c>
    </row>
    <row r="23">
      <c r="A23" t="n">
        <v>22</v>
      </c>
      <c r="B23">
        <f>K22 + Parâmetros!B3</f>
        <v/>
      </c>
      <c r="C23">
        <f>B23 * Parâmetros!B5 / 100</f>
        <v/>
      </c>
      <c r="D23">
        <f>C23 * Parâmetros!B12 / 100</f>
        <v/>
      </c>
      <c r="E23">
        <f>Parâmetros!B14 + Parâmetros!B15</f>
        <v/>
      </c>
      <c r="F23" t="n">
        <v>0</v>
      </c>
      <c r="G23">
        <f>IF(F23&gt;0, F23 * Parâmetros!B8 / 100, 0)</f>
        <v/>
      </c>
      <c r="H23">
        <f>G23 * Parâmetros!B13 / 100</f>
        <v/>
      </c>
      <c r="I23" t="n">
        <v>0</v>
      </c>
      <c r="J23">
        <f>IF(F23&gt;0, F23 - G23, 0)</f>
        <v/>
      </c>
      <c r="K23">
        <f>B23 + J23 + Parâmetros!B3</f>
        <v/>
      </c>
    </row>
    <row r="24">
      <c r="A24" t="n">
        <v>23</v>
      </c>
      <c r="B24">
        <f>K23 + Parâmetros!B3</f>
        <v/>
      </c>
      <c r="C24">
        <f>B24 * Parâmetros!B5 / 100</f>
        <v/>
      </c>
      <c r="D24">
        <f>C24 * Parâmetros!B12 / 100</f>
        <v/>
      </c>
      <c r="E24">
        <f>Parâmetros!B14 + Parâmetros!B15</f>
        <v/>
      </c>
      <c r="F24" t="n">
        <v>0</v>
      </c>
      <c r="G24">
        <f>IF(F24&gt;0, F24 * Parâmetros!B8 / 100, 0)</f>
        <v/>
      </c>
      <c r="H24">
        <f>G24 * Parâmetros!B13 / 100</f>
        <v/>
      </c>
      <c r="I24" t="n">
        <v>0</v>
      </c>
      <c r="J24">
        <f>IF(F24&gt;0, F24 - G24, 0)</f>
        <v/>
      </c>
      <c r="K24">
        <f>B24 + J24 + Parâmetros!B3</f>
        <v/>
      </c>
    </row>
    <row r="25">
      <c r="A25" t="n">
        <v>24</v>
      </c>
      <c r="B25">
        <f>K24 + Parâmetros!B3</f>
        <v/>
      </c>
      <c r="C25">
        <f>B25 * Parâmetros!B5 / 100</f>
        <v/>
      </c>
      <c r="D25">
        <f>C25 * Parâmetros!B12 / 100</f>
        <v/>
      </c>
      <c r="E25">
        <f>Parâmetros!B14 + Parâmetros!B15</f>
        <v/>
      </c>
      <c r="F25" t="n">
        <v>0</v>
      </c>
      <c r="G25">
        <f>IF(F25&gt;0, F25 * Parâmetros!B8 / 100, 0)</f>
        <v/>
      </c>
      <c r="H25">
        <f>G25 * Parâmetros!B13 / 100</f>
        <v/>
      </c>
      <c r="I25" t="n">
        <v>0</v>
      </c>
      <c r="J25">
        <f>IF(F25&gt;0, F25 - G25, 0)</f>
        <v/>
      </c>
      <c r="K25">
        <f>B25 + J25 + Parâmetros!B3</f>
        <v/>
      </c>
    </row>
    <row r="26">
      <c r="A26" t="n">
        <v>25</v>
      </c>
      <c r="B26">
        <f>K25 + Parâmetros!B3</f>
        <v/>
      </c>
      <c r="C26">
        <f>B26 * Parâmetros!B5 / 100</f>
        <v/>
      </c>
      <c r="D26">
        <f>C26 * Parâmetros!B12 / 100</f>
        <v/>
      </c>
      <c r="E26">
        <f>Parâmetros!B14 + Parâmetros!B15</f>
        <v/>
      </c>
      <c r="F26" t="n">
        <v>0</v>
      </c>
      <c r="G26">
        <f>IF(F26&gt;0, F26 * Parâmetros!B8 / 100, 0)</f>
        <v/>
      </c>
      <c r="H26">
        <f>G26 * Parâmetros!B13 / 100</f>
        <v/>
      </c>
      <c r="I26" t="n">
        <v>0</v>
      </c>
      <c r="J26">
        <f>IF(F26&gt;0, F26 - G26, 0)</f>
        <v/>
      </c>
      <c r="K26">
        <f>B26 + J26 + Parâmetros!B3</f>
        <v/>
      </c>
    </row>
    <row r="27">
      <c r="A27" t="n">
        <v>26</v>
      </c>
      <c r="B27">
        <f>K26 + Parâmetros!B3</f>
        <v/>
      </c>
      <c r="C27">
        <f>B27 * Parâmetros!B5 / 100</f>
        <v/>
      </c>
      <c r="D27">
        <f>C27 * Parâmetros!B12 / 100</f>
        <v/>
      </c>
      <c r="E27">
        <f>Parâmetros!B14 + Parâmetros!B15</f>
        <v/>
      </c>
      <c r="F27" t="n">
        <v>0</v>
      </c>
      <c r="G27">
        <f>IF(F27&gt;0, F27 * Parâmetros!B8 / 100, 0)</f>
        <v/>
      </c>
      <c r="H27">
        <f>G27 * Parâmetros!B13 / 100</f>
        <v/>
      </c>
      <c r="I27" t="n">
        <v>0</v>
      </c>
      <c r="J27">
        <f>IF(F27&gt;0, F27 - G27, 0)</f>
        <v/>
      </c>
      <c r="K27">
        <f>B27 + J27 + Parâmetros!B3</f>
        <v/>
      </c>
    </row>
    <row r="28">
      <c r="A28" t="n">
        <v>27</v>
      </c>
      <c r="B28">
        <f>K27 + Parâmetros!B3</f>
        <v/>
      </c>
      <c r="C28">
        <f>B28 * Parâmetros!B5 / 100</f>
        <v/>
      </c>
      <c r="D28">
        <f>C28 * Parâmetros!B12 / 100</f>
        <v/>
      </c>
      <c r="E28">
        <f>Parâmetros!B14 + Parâmetros!B15</f>
        <v/>
      </c>
      <c r="F28" t="n">
        <v>0</v>
      </c>
      <c r="G28">
        <f>IF(F28&gt;0, F28 * Parâmetros!B8 / 100, 0)</f>
        <v/>
      </c>
      <c r="H28">
        <f>G28 * Parâmetros!B13 / 100</f>
        <v/>
      </c>
      <c r="I28" t="n">
        <v>0</v>
      </c>
      <c r="J28">
        <f>IF(F28&gt;0, F28 - G28, 0)</f>
        <v/>
      </c>
      <c r="K28">
        <f>B28 + J28 + Parâmetros!B3</f>
        <v/>
      </c>
    </row>
    <row r="29">
      <c r="A29" t="n">
        <v>28</v>
      </c>
      <c r="B29">
        <f>K28 + Parâmetros!B3</f>
        <v/>
      </c>
      <c r="C29">
        <f>B29 * Parâmetros!B5 / 100</f>
        <v/>
      </c>
      <c r="D29">
        <f>C29 * Parâmetros!B12 / 100</f>
        <v/>
      </c>
      <c r="E29">
        <f>Parâmetros!B14 + Parâmetros!B15</f>
        <v/>
      </c>
      <c r="F29" t="n">
        <v>0</v>
      </c>
      <c r="G29">
        <f>IF(F29&gt;0, F29 * Parâmetros!B8 / 100, 0)</f>
        <v/>
      </c>
      <c r="H29">
        <f>G29 * Parâmetros!B13 / 100</f>
        <v/>
      </c>
      <c r="I29" t="n">
        <v>0</v>
      </c>
      <c r="J29">
        <f>IF(F29&gt;0, F29 - G29, 0)</f>
        <v/>
      </c>
      <c r="K29">
        <f>B29 + J29 + Parâmetros!B3</f>
        <v/>
      </c>
    </row>
    <row r="30">
      <c r="A30" t="n">
        <v>29</v>
      </c>
      <c r="B30">
        <f>K29 + Parâmetros!B3</f>
        <v/>
      </c>
      <c r="C30">
        <f>B30 * Parâmetros!B5 / 100</f>
        <v/>
      </c>
      <c r="D30">
        <f>C30 * Parâmetros!B12 / 100</f>
        <v/>
      </c>
      <c r="E30">
        <f>Parâmetros!B14 + Parâmetros!B15</f>
        <v/>
      </c>
      <c r="F30" t="n">
        <v>0</v>
      </c>
      <c r="G30">
        <f>IF(F30&gt;0, F30 * Parâmetros!B8 / 100, 0)</f>
        <v/>
      </c>
      <c r="H30">
        <f>G30 * Parâmetros!B13 / 100</f>
        <v/>
      </c>
      <c r="I30" t="n">
        <v>0</v>
      </c>
      <c r="J30">
        <f>IF(F30&gt;0, F30 - G30, 0)</f>
        <v/>
      </c>
      <c r="K30">
        <f>B30 + J30 + Parâmetros!B3</f>
        <v/>
      </c>
    </row>
    <row r="31">
      <c r="A31" t="n">
        <v>30</v>
      </c>
      <c r="B31">
        <f>K30 + Parâmetros!B3</f>
        <v/>
      </c>
      <c r="C31">
        <f>B31 * Parâmetros!B5 / 100</f>
        <v/>
      </c>
      <c r="D31">
        <f>C31 * Parâmetros!B12 / 100</f>
        <v/>
      </c>
      <c r="E31">
        <f>Parâmetros!B14 + Parâmetros!B15</f>
        <v/>
      </c>
      <c r="F31" t="n">
        <v>0</v>
      </c>
      <c r="G31">
        <f>IF(F31&gt;0, F31 * Parâmetros!B8 / 100, 0)</f>
        <v/>
      </c>
      <c r="H31">
        <f>G31 * Parâmetros!B13 / 100</f>
        <v/>
      </c>
      <c r="I31" t="n">
        <v>0</v>
      </c>
      <c r="J31">
        <f>IF(F31&gt;0, F31 - G31, 0)</f>
        <v/>
      </c>
      <c r="K31">
        <f>B31 + J31 + Parâmetros!B3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Pessoa Física</t>
        </is>
      </c>
      <c r="C1" t="inlineStr">
        <is>
          <t>Pessoa Jurídica</t>
        </is>
      </c>
      <c r="D1" t="inlineStr">
        <is>
          <t>Diferença Absoluta</t>
        </is>
      </c>
      <c r="E1" t="inlineStr">
        <is>
          <t>Diferença %</t>
        </is>
      </c>
    </row>
    <row r="2">
      <c r="A2" t="inlineStr">
        <is>
          <t>Patrimônio Bruto Final</t>
        </is>
      </c>
      <c r="B2">
        <f>Cálculo PF!H31</f>
        <v/>
      </c>
      <c r="C2">
        <f>Cálculo PJ!K31 + SUM(Cálculo PJ!I2:I31)</f>
        <v/>
      </c>
      <c r="D2" t="n">
        <v>0</v>
      </c>
      <c r="E2">
        <f>IF(B2=0,0,D2/B2*100)</f>
        <v/>
      </c>
    </row>
    <row r="3">
      <c r="A3" t="inlineStr">
        <is>
          <t>Carga Tributária Acumulada</t>
        </is>
      </c>
      <c r="B3">
        <f>SUM(Cálculo PF!D2:D31) + SUM(Cálculo PF!E2:E31)</f>
        <v/>
      </c>
      <c r="C3">
        <f>SUM(Cálculo PJ!D2:D31) + SUM(Cálculo PJ!H2:H31)</f>
        <v/>
      </c>
      <c r="D3" t="n">
        <v>0</v>
      </c>
      <c r="E3">
        <f>IF(B3=0,0,D3/B3*100)</f>
        <v/>
      </c>
    </row>
    <row r="4">
      <c r="A4" t="inlineStr">
        <is>
          <t>Taxa Efetiva Total (%)</t>
        </is>
      </c>
      <c r="B4">
        <f>IF(SUM(Cálculo PF!C2:C31)=0,0,B3/SUM(Cálculo PF!C2:C31)*100)</f>
        <v/>
      </c>
      <c r="C4">
        <f>IF(SUM(Cálculo PJ!C2:C31)=0,0,C3/SUM(Cálculo PJ!C2:C31)*100)</f>
        <v/>
      </c>
      <c r="D4" t="inlineStr"/>
      <c r="E4" t="inlineStr"/>
    </row>
    <row r="5">
      <c r="A5" t="inlineStr">
        <is>
          <t>Total Aportes</t>
        </is>
      </c>
      <c r="B5">
        <f>Parâmetros!B2 + Parâmetros!B3 * Parâmetros!B4</f>
        <v/>
      </c>
      <c r="C5">
        <f>Parâmetros!B2 + Parâmetros!B3 * Parâmetros!B4</f>
        <v/>
      </c>
      <c r="D5" t="inlineStr"/>
      <c r="E5" t="inlineStr"/>
    </row>
    <row r="6">
      <c r="A6" t="inlineStr">
        <is>
          <t>Ganho de Capital Bruto</t>
        </is>
      </c>
      <c r="B6" t="n">
        <v>0</v>
      </c>
      <c r="C6" t="n">
        <v>0</v>
      </c>
      <c r="D6" t="inlineStr"/>
      <c r="E6" t="inlineStr"/>
    </row>
    <row r="7">
      <c r="A7" t="inlineStr">
        <is>
          <t>Imposto sobre Ganho de Capital</t>
        </is>
      </c>
      <c r="B7">
        <f>IF(B6&gt;0,B6*Parâmetros!B17/100,0)</f>
        <v/>
      </c>
      <c r="C7">
        <f>IF(C6&gt;0,C6*Parâmetros!B18/100,0)</f>
        <v/>
      </c>
      <c r="D7" t="inlineStr"/>
      <c r="E7" t="inlineStr"/>
    </row>
    <row r="8">
      <c r="A8" t="inlineStr">
        <is>
          <t>ITCMD</t>
        </is>
      </c>
      <c r="B8">
        <f>B2 * Parâmetros!B16 / 100</f>
        <v/>
      </c>
      <c r="C8">
        <f>C2 * Parâmetros!B16 / 100</f>
        <v/>
      </c>
      <c r="D8" t="inlineStr"/>
      <c r="E8" t="inlineStr"/>
    </row>
    <row r="9">
      <c r="A9" t="inlineStr">
        <is>
          <t>Patrimônio Líquido Final Após Impostos</t>
        </is>
      </c>
      <c r="B9" t="n">
        <v>0</v>
      </c>
      <c r="C9" t="n">
        <v>0</v>
      </c>
      <c r="D9" t="n">
        <v>0</v>
      </c>
      <c r="E9">
        <f>IF(B9=0,0,D9/B9*100)</f>
        <v/>
      </c>
    </row>
    <row r="10">
      <c r="A10" t="inlineStr">
        <is>
          <t>Recomendação</t>
        </is>
      </c>
      <c r="B10">
        <f>IF(B9&gt;C9,"Melhor em PF",IF(C9&gt;B9,"Melhor em PJ","Indiferente"))</f>
        <v/>
      </c>
      <c r="C10" t="inlineStr"/>
      <c r="D10" t="inlineStr"/>
      <c r="E10" t="inlineStr"/>
    </row>
    <row r="16"/>
    <row r="17"/>
    <row r="18"/>
    <row r="3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Valor 1</t>
        </is>
      </c>
      <c r="C1" t="inlineStr">
        <is>
          <t>Valor 2</t>
        </is>
      </c>
      <c r="D1" t="inlineStr">
        <is>
          <t>Valor 3</t>
        </is>
      </c>
      <c r="E1" t="inlineStr">
        <is>
          <t>Valor 4</t>
        </is>
      </c>
    </row>
    <row r="2">
      <c r="A2" t="inlineStr">
        <is>
          <t>Sensibilidade à Taxa de Retorno - Horizonte 30 anos, outros parâmetros base</t>
        </is>
      </c>
      <c r="B2" t="inlineStr"/>
      <c r="C2" t="inlineStr"/>
      <c r="D2" t="inlineStr"/>
      <c r="E2" t="inlineStr"/>
    </row>
    <row r="3">
      <c r="A3" t="inlineStr">
        <is>
          <t>Taxa (%)</t>
        </is>
      </c>
      <c r="B3" t="inlineStr">
        <is>
          <t>Patrimônio Final PF (R$)</t>
        </is>
      </c>
      <c r="C3" t="inlineStr">
        <is>
          <t>Patrimônio Final PJ (R$)</t>
        </is>
      </c>
      <c r="D3" t="inlineStr">
        <is>
          <t>Diferença (R$)</t>
        </is>
      </c>
      <c r="E3" t="inlineStr">
        <is>
          <t>Diferença %</t>
        </is>
      </c>
    </row>
    <row r="4">
      <c r="A4" t="inlineStr">
        <is>
          <t>5</t>
        </is>
      </c>
      <c r="B4" t="inlineStr">
        <is>
          <t>3243398</t>
        </is>
      </c>
      <c r="C4" t="inlineStr">
        <is>
          <t>1000000</t>
        </is>
      </c>
      <c r="D4" t="inlineStr">
        <is>
          <t>-2243398</t>
        </is>
      </c>
      <c r="E4" t="inlineStr">
        <is>
          <t>-69.17</t>
        </is>
      </c>
    </row>
    <row r="5">
      <c r="A5" t="inlineStr">
        <is>
          <t>7.5</t>
        </is>
      </c>
      <c r="B5" t="inlineStr">
        <is>
          <t>5743491</t>
        </is>
      </c>
      <c r="C5" t="inlineStr">
        <is>
          <t>1000000</t>
        </is>
      </c>
      <c r="D5" t="inlineStr">
        <is>
          <t>-4743491</t>
        </is>
      </c>
      <c r="E5" t="inlineStr">
        <is>
          <t>-82.59</t>
        </is>
      </c>
    </row>
    <row r="6">
      <c r="A6" t="inlineStr">
        <is>
          <t>10</t>
        </is>
      </c>
      <c r="B6" t="inlineStr">
        <is>
          <t>10062657</t>
        </is>
      </c>
      <c r="C6" t="inlineStr">
        <is>
          <t>1000000</t>
        </is>
      </c>
      <c r="D6" t="inlineStr">
        <is>
          <t>-9062657</t>
        </is>
      </c>
      <c r="E6" t="inlineStr">
        <is>
          <t>-90.06</t>
        </is>
      </c>
    </row>
    <row r="7">
      <c r="A7" t="inlineStr">
        <is>
          <t>12.5</t>
        </is>
      </c>
      <c r="B7" t="inlineStr">
        <is>
          <t>17449402</t>
        </is>
      </c>
      <c r="C7" t="inlineStr">
        <is>
          <t>1715881</t>
        </is>
      </c>
      <c r="D7" t="inlineStr">
        <is>
          <t>-15733521</t>
        </is>
      </c>
      <c r="E7" t="inlineStr">
        <is>
          <t>-90.17</t>
        </is>
      </c>
    </row>
    <row r="8">
      <c r="A8" t="inlineStr">
        <is>
          <t>15</t>
        </is>
      </c>
      <c r="B8" t="inlineStr">
        <is>
          <t>29959922</t>
        </is>
      </c>
      <c r="C8" t="inlineStr">
        <is>
          <t>2910265</t>
        </is>
      </c>
      <c r="D8" t="inlineStr">
        <is>
          <t>-27049657</t>
        </is>
      </c>
      <c r="E8" t="inlineStr">
        <is>
          <t>-90.29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Sensibilidade ao Horizonte - Taxa 10%, outros parâmetros base</t>
        </is>
      </c>
      <c r="B10" t="inlineStr"/>
      <c r="C10" t="inlineStr"/>
      <c r="D10" t="inlineStr"/>
      <c r="E10" t="inlineStr"/>
    </row>
    <row r="11">
      <c r="A11" t="inlineStr">
        <is>
          <t>Anos</t>
        </is>
      </c>
      <c r="B11" t="inlineStr">
        <is>
          <t>Patrimônio Final PF (R$)</t>
        </is>
      </c>
      <c r="C11" t="inlineStr">
        <is>
          <t>Patrimônio Final PJ (R$)</t>
        </is>
      </c>
      <c r="D11" t="inlineStr">
        <is>
          <t>Diferença (R$)</t>
        </is>
      </c>
      <c r="E11" t="inlineStr">
        <is>
          <t>Diferença %</t>
        </is>
      </c>
    </row>
    <row r="12">
      <c r="A12" t="inlineStr">
        <is>
          <t>10</t>
        </is>
      </c>
      <c r="B12" t="inlineStr">
        <is>
          <t>2158925</t>
        </is>
      </c>
      <c r="C12" t="inlineStr">
        <is>
          <t>1000000</t>
        </is>
      </c>
      <c r="D12" t="inlineStr">
        <is>
          <t>-1158925</t>
        </is>
      </c>
      <c r="E12" t="inlineStr">
        <is>
          <t>-53.68</t>
        </is>
      </c>
    </row>
    <row r="13">
      <c r="A13" t="inlineStr">
        <is>
          <t>15</t>
        </is>
      </c>
      <c r="B13" t="inlineStr">
        <is>
          <t>3172169</t>
        </is>
      </c>
      <c r="C13" t="inlineStr">
        <is>
          <t>1000000</t>
        </is>
      </c>
      <c r="D13" t="inlineStr">
        <is>
          <t>-2172169</t>
        </is>
      </c>
      <c r="E13" t="inlineStr">
        <is>
          <t>-68.48</t>
        </is>
      </c>
    </row>
    <row r="14">
      <c r="A14" t="inlineStr">
        <is>
          <t>20</t>
        </is>
      </c>
      <c r="B14" t="inlineStr">
        <is>
          <t>4660957</t>
        </is>
      </c>
      <c r="C14" t="inlineStr">
        <is>
          <t>1000000</t>
        </is>
      </c>
      <c r="D14" t="inlineStr">
        <is>
          <t>-3660957</t>
        </is>
      </c>
      <c r="E14" t="inlineStr">
        <is>
          <t>-78.55</t>
        </is>
      </c>
    </row>
    <row r="15">
      <c r="A15" t="inlineStr">
        <is>
          <t>25</t>
        </is>
      </c>
      <c r="B15" t="inlineStr">
        <is>
          <t>6848475</t>
        </is>
      </c>
      <c r="C15" t="inlineStr">
        <is>
          <t>1000000</t>
        </is>
      </c>
      <c r="D15" t="inlineStr">
        <is>
          <t>-5848475</t>
        </is>
      </c>
      <c r="E15" t="inlineStr">
        <is>
          <t>-85.4</t>
        </is>
      </c>
    </row>
    <row r="16">
      <c r="A16" t="inlineStr">
        <is>
          <t>30</t>
        </is>
      </c>
      <c r="B16" t="inlineStr">
        <is>
          <t>10062657</t>
        </is>
      </c>
      <c r="C16" t="inlineStr">
        <is>
          <t>1000000</t>
        </is>
      </c>
      <c r="D16" t="inlineStr">
        <is>
          <t>-9062657</t>
        </is>
      </c>
      <c r="E16" t="inlineStr">
        <is>
          <t>-90.06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Sensibilidade à Alíquota Efetiva PJ - Taxa 10%, Horizonte 30 anos, outros base</t>
        </is>
      </c>
      <c r="B18" t="inlineStr"/>
      <c r="C18" t="inlineStr"/>
      <c r="D18" t="inlineStr"/>
      <c r="E18" t="inlineStr"/>
    </row>
    <row r="19">
      <c r="A19" t="inlineStr">
        <is>
          <t>Alíquota PJ (%)</t>
        </is>
      </c>
      <c r="B19" t="inlineStr">
        <is>
          <t>Patrimônio Final PF (R$)</t>
        </is>
      </c>
      <c r="C19" t="inlineStr">
        <is>
          <t>Patrimônio Final PJ (R$)</t>
        </is>
      </c>
      <c r="D19" t="inlineStr">
        <is>
          <t>Diferença (R$)</t>
        </is>
      </c>
      <c r="E19" t="inlineStr">
        <is>
          <t>Diferença %</t>
        </is>
      </c>
    </row>
    <row r="20">
      <c r="A20" t="inlineStr">
        <is>
          <t>25</t>
        </is>
      </c>
      <c r="B20" t="inlineStr">
        <is>
          <t>10062657</t>
        </is>
      </c>
      <c r="C20" t="inlineStr">
        <is>
          <t>1268996</t>
        </is>
      </c>
      <c r="D20" t="inlineStr">
        <is>
          <t>-8793661</t>
        </is>
      </c>
      <c r="E20" t="inlineStr">
        <is>
          <t>-87.39</t>
        </is>
      </c>
    </row>
    <row r="21">
      <c r="A21" t="inlineStr">
        <is>
          <t>30</t>
        </is>
      </c>
      <c r="B21" t="inlineStr">
        <is>
          <t>10062657</t>
        </is>
      </c>
      <c r="C21" t="inlineStr">
        <is>
          <t>1000000</t>
        </is>
      </c>
      <c r="D21" t="inlineStr">
        <is>
          <t>-9062657</t>
        </is>
      </c>
      <c r="E21" t="inlineStr">
        <is>
          <t>-90.06</t>
        </is>
      </c>
    </row>
    <row r="22">
      <c r="A22" t="inlineStr">
        <is>
          <t>34</t>
        </is>
      </c>
      <c r="B22" t="inlineStr">
        <is>
          <t>10062657</t>
        </is>
      </c>
      <c r="C22" t="inlineStr">
        <is>
          <t>1000000</t>
        </is>
      </c>
      <c r="D22" t="inlineStr">
        <is>
          <t>-9062657</t>
        </is>
      </c>
      <c r="E22" t="inlineStr">
        <is>
          <t>-90.06</t>
        </is>
      </c>
    </row>
    <row r="23">
      <c r="A23" t="inlineStr">
        <is>
          <t>40</t>
        </is>
      </c>
      <c r="B23" t="inlineStr">
        <is>
          <t>10062657</t>
        </is>
      </c>
      <c r="C23" t="inlineStr">
        <is>
          <t>1000000</t>
        </is>
      </c>
      <c r="D23" t="inlineStr">
        <is>
          <t>-9062657</t>
        </is>
      </c>
      <c r="E23" t="inlineStr">
        <is>
          <t>-90.06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2026-03-18T19:40:26Z</dcterms:created>
  <dcterms:modified xsi:type="dcterms:W3CDTF">2026-03-18T19:40:26Z</dcterms:modified>
</cp:coreProperties>
</file>